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e141462a90bc6c/Documents/"/>
    </mc:Choice>
  </mc:AlternateContent>
  <xr:revisionPtr revIDLastSave="5" documentId="8_{5510833B-6282-4494-AEAD-63BF23663C1B}" xr6:coauthVersionLast="47" xr6:coauthVersionMax="47" xr10:uidLastSave="{AE8CAFBD-B453-4CD3-A198-8CE90BD183F0}"/>
  <bookViews>
    <workbookView xWindow="-108" yWindow="-108" windowWidth="23256" windowHeight="12456" xr2:uid="{CECA0626-A53F-4166-B38F-335E50CF5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G6" i="1" s="1"/>
  <c r="H3" i="1"/>
  <c r="H4" i="1"/>
  <c r="H5" i="1"/>
  <c r="H7" i="1"/>
  <c r="H8" i="1"/>
  <c r="H9" i="1"/>
  <c r="H10" i="1"/>
  <c r="H11" i="1"/>
  <c r="H12" i="1"/>
  <c r="H13" i="1"/>
  <c r="H2" i="1"/>
  <c r="G3" i="1"/>
  <c r="G4" i="1"/>
  <c r="G5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14" i="1" s="1"/>
  <c r="D7" i="1"/>
  <c r="D8" i="1"/>
  <c r="D9" i="1"/>
  <c r="D10" i="1"/>
  <c r="D11" i="1"/>
  <c r="D12" i="1"/>
  <c r="D13" i="1"/>
  <c r="D2" i="1"/>
  <c r="C14" i="1"/>
  <c r="B14" i="1"/>
  <c r="H6" i="1" l="1"/>
  <c r="E14" i="1"/>
  <c r="G14" i="1" s="1"/>
  <c r="H14" i="1"/>
  <c r="I2" i="1" l="1"/>
  <c r="J2" i="1"/>
</calcChain>
</file>

<file path=xl/sharedStrings.xml><?xml version="1.0" encoding="utf-8"?>
<sst xmlns="http://schemas.openxmlformats.org/spreadsheetml/2006/main" count="10" uniqueCount="10">
  <si>
    <t>i</t>
  </si>
  <si>
    <t>Xi</t>
  </si>
  <si>
    <t>Yi</t>
  </si>
  <si>
    <t>Xi-Xmean</t>
  </si>
  <si>
    <t>Yi-Ymean</t>
  </si>
  <si>
    <t>(Xi-Xmean)^2</t>
  </si>
  <si>
    <t>Xi * Yi</t>
  </si>
  <si>
    <t>(Xi-Xmean)(Yi-Ymean)</t>
  </si>
  <si>
    <t>Beta = Σ(Xi-X̄)(Yi-Ȳ) / Σ(Xi-X̄)²</t>
  </si>
  <si>
    <t>α = Y − Βx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</si>
</sst>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Sheet1!$B$2:$B$13</c:f>
              <c:numCache>
                <c:formatCode>General</c:formatCode>
                <c:ptCount val="12"/>
                <c:pt idx="0">
                  <c:v>24</c:v>
                </c:pt>
                <c:pt idx="1">
                  <c:v>35</c:v>
                </c:pt>
                <c:pt idx="2">
                  <c:v>64</c:v>
                </c:pt>
                <c:pt idx="3">
                  <c:v>20</c:v>
                </c:pt>
                <c:pt idx="4">
                  <c:v>33</c:v>
                </c:pt>
                <c:pt idx="5">
                  <c:v>27</c:v>
                </c:pt>
                <c:pt idx="6">
                  <c:v>42</c:v>
                </c:pt>
                <c:pt idx="7">
                  <c:v>41</c:v>
                </c:pt>
                <c:pt idx="8">
                  <c:v>22</c:v>
                </c:pt>
                <c:pt idx="9">
                  <c:v>50</c:v>
                </c:pt>
                <c:pt idx="10">
                  <c:v>36</c:v>
                </c:pt>
                <c:pt idx="11">
                  <c:v>31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90</c:v>
                </c:pt>
                <c:pt idx="1">
                  <c:v>65</c:v>
                </c:pt>
                <c:pt idx="2">
                  <c:v>30</c:v>
                </c:pt>
                <c:pt idx="3">
                  <c:v>60</c:v>
                </c:pt>
                <c:pt idx="4">
                  <c:v>60</c:v>
                </c:pt>
                <c:pt idx="5">
                  <c:v>80</c:v>
                </c:pt>
                <c:pt idx="6">
                  <c:v>45</c:v>
                </c:pt>
                <c:pt idx="7">
                  <c:v>45</c:v>
                </c:pt>
                <c:pt idx="8">
                  <c:v>80</c:v>
                </c:pt>
                <c:pt idx="9">
                  <c:v>35</c:v>
                </c:pt>
                <c:pt idx="10">
                  <c:v>50</c:v>
                </c:pt>
                <c:pt idx="1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8-496C-9E57-7FF9677A139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97566191"/>
        <c:axId val="604132687"/>
      </c:scatterChart>
      <c:valAx>
        <c:axId val="6975661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132687"/>
        <c:crosses val="autoZero"/>
        <c:crossBetween val="midCat"/>
      </c:valAx>
      <c:valAx>
        <c:axId val="60413268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754380</xdr:colOff>
      <xdr:row>13</xdr:row>
      <xdr:rowOff>160020</xdr:rowOff>
    </xdr:from>
    <xdr:to>
      <xdr:col>8</xdr:col>
      <xdr:colOff>198120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47255-261F-7650-5E67-29DC6FF91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4665-E014-4C30-83AC-FF082810FD9D}">
  <dimension ref="A1:J14"/>
  <sheetViews>
    <sheetView tabSelected="1" workbookViewId="0">
      <selection activeCell="J20" sqref="J20"/>
    </sheetView>
  </sheetViews>
  <sheetFormatPr defaultRowHeight="14.4" x14ac:dyDescent="0.3"/>
  <cols>
    <col min="4" max="4" width="20.5546875" customWidth="1"/>
    <col min="5" max="5" width="24.109375" customWidth="1"/>
    <col min="6" max="6" width="21.109375" customWidth="1"/>
    <col min="7" max="7" width="12.6640625" customWidth="1"/>
    <col min="8" max="8" width="29.77734375" customWidth="1"/>
    <col min="9" max="9" width="28.21875" customWidth="1"/>
    <col min="10" max="10" width="2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24</v>
      </c>
      <c r="C2">
        <v>90</v>
      </c>
      <c r="D2">
        <f>ROUND(B2-$B$14,2)</f>
        <v>-11.42</v>
      </c>
      <c r="E2">
        <f>ROUND(C2-$C$14,2)</f>
        <v>32.92</v>
      </c>
      <c r="F2">
        <f>ROUND(B2*C2,2)</f>
        <v>2160</v>
      </c>
      <c r="G2">
        <f>ROUND(D2^2,2)</f>
        <v>130.41999999999999</v>
      </c>
      <c r="H2">
        <f>ROUND(D2*E2,2)</f>
        <v>-375.95</v>
      </c>
      <c r="I2">
        <f>ROUND(SUM(H2:H13)/SUM(G2:G13),2)</f>
        <v>-1.22</v>
      </c>
      <c r="J2">
        <f>ROUND($C$14-(SUM(H2:H13)/SUM(G2:G13))*$B$14,2)</f>
        <v>100.12</v>
      </c>
    </row>
    <row r="3" spans="1:10" x14ac:dyDescent="0.3">
      <c r="A3">
        <v>2</v>
      </c>
      <c r="B3">
        <v>35</v>
      </c>
      <c r="C3">
        <v>65</v>
      </c>
      <c r="D3">
        <f t="shared" ref="D3:D13" si="0">ROUND(B3-$B$14,2)</f>
        <v>-0.42</v>
      </c>
      <c r="E3">
        <f t="shared" ref="E3:E13" si="1">ROUND(C3-$C$14,2)</f>
        <v>7.92</v>
      </c>
      <c r="F3">
        <f t="shared" ref="F3:F14" si="2">ROUND(B3*C3,2)</f>
        <v>2275</v>
      </c>
      <c r="G3">
        <f t="shared" ref="G3:G13" si="3">ROUND(D3^2,2)</f>
        <v>0.18</v>
      </c>
      <c r="H3">
        <f t="shared" ref="H3:H13" si="4">ROUND(D3*E3,2)</f>
        <v>-3.33</v>
      </c>
    </row>
    <row r="4" spans="1:10" x14ac:dyDescent="0.3">
      <c r="A4">
        <v>3</v>
      </c>
      <c r="B4">
        <v>64</v>
      </c>
      <c r="C4">
        <v>30</v>
      </c>
      <c r="D4">
        <f t="shared" si="0"/>
        <v>28.58</v>
      </c>
      <c r="E4">
        <f t="shared" si="1"/>
        <v>-27.08</v>
      </c>
      <c r="F4">
        <f t="shared" si="2"/>
        <v>1920</v>
      </c>
      <c r="G4">
        <f t="shared" si="3"/>
        <v>816.82</v>
      </c>
      <c r="H4">
        <f t="shared" si="4"/>
        <v>-773.95</v>
      </c>
    </row>
    <row r="5" spans="1:10" x14ac:dyDescent="0.3">
      <c r="A5">
        <v>4</v>
      </c>
      <c r="B5">
        <v>20</v>
      </c>
      <c r="C5">
        <v>60</v>
      </c>
      <c r="D5">
        <f t="shared" si="0"/>
        <v>-15.42</v>
      </c>
      <c r="E5">
        <f t="shared" si="1"/>
        <v>2.92</v>
      </c>
      <c r="F5">
        <f t="shared" si="2"/>
        <v>1200</v>
      </c>
      <c r="G5">
        <f t="shared" si="3"/>
        <v>237.78</v>
      </c>
      <c r="H5">
        <f t="shared" si="4"/>
        <v>-45.03</v>
      </c>
    </row>
    <row r="6" spans="1:10" x14ac:dyDescent="0.3">
      <c r="A6">
        <v>5</v>
      </c>
      <c r="B6">
        <v>33</v>
      </c>
      <c r="C6">
        <v>60</v>
      </c>
      <c r="D6">
        <f>ROUND(B6-$B$14,2)</f>
        <v>-2.42</v>
      </c>
      <c r="E6">
        <f t="shared" si="1"/>
        <v>2.92</v>
      </c>
      <c r="F6">
        <f t="shared" si="2"/>
        <v>1980</v>
      </c>
      <c r="G6">
        <f t="shared" si="3"/>
        <v>5.86</v>
      </c>
      <c r="H6">
        <f t="shared" si="4"/>
        <v>-7.07</v>
      </c>
    </row>
    <row r="7" spans="1:10" x14ac:dyDescent="0.3">
      <c r="A7">
        <v>6</v>
      </c>
      <c r="B7">
        <v>27</v>
      </c>
      <c r="C7">
        <v>80</v>
      </c>
      <c r="D7">
        <f t="shared" si="0"/>
        <v>-8.42</v>
      </c>
      <c r="E7">
        <f t="shared" si="1"/>
        <v>22.92</v>
      </c>
      <c r="F7">
        <f t="shared" si="2"/>
        <v>2160</v>
      </c>
      <c r="G7">
        <f t="shared" si="3"/>
        <v>70.900000000000006</v>
      </c>
      <c r="H7">
        <f t="shared" si="4"/>
        <v>-192.99</v>
      </c>
    </row>
    <row r="8" spans="1:10" x14ac:dyDescent="0.3">
      <c r="A8">
        <v>7</v>
      </c>
      <c r="B8">
        <v>42</v>
      </c>
      <c r="C8">
        <v>45</v>
      </c>
      <c r="D8">
        <f t="shared" si="0"/>
        <v>6.58</v>
      </c>
      <c r="E8">
        <f t="shared" si="1"/>
        <v>-12.08</v>
      </c>
      <c r="F8">
        <f t="shared" si="2"/>
        <v>1890</v>
      </c>
      <c r="G8">
        <f t="shared" si="3"/>
        <v>43.3</v>
      </c>
      <c r="H8">
        <f t="shared" si="4"/>
        <v>-79.489999999999995</v>
      </c>
    </row>
    <row r="9" spans="1:10" x14ac:dyDescent="0.3">
      <c r="A9">
        <v>8</v>
      </c>
      <c r="B9">
        <v>41</v>
      </c>
      <c r="C9">
        <v>45</v>
      </c>
      <c r="D9">
        <f t="shared" si="0"/>
        <v>5.58</v>
      </c>
      <c r="E9">
        <f t="shared" si="1"/>
        <v>-12.08</v>
      </c>
      <c r="F9">
        <f t="shared" si="2"/>
        <v>1845</v>
      </c>
      <c r="G9">
        <f t="shared" si="3"/>
        <v>31.14</v>
      </c>
      <c r="H9">
        <f t="shared" si="4"/>
        <v>-67.41</v>
      </c>
    </row>
    <row r="10" spans="1:10" x14ac:dyDescent="0.3">
      <c r="A10">
        <v>9</v>
      </c>
      <c r="B10">
        <v>22</v>
      </c>
      <c r="C10">
        <v>80</v>
      </c>
      <c r="D10">
        <f t="shared" si="0"/>
        <v>-13.42</v>
      </c>
      <c r="E10">
        <f t="shared" si="1"/>
        <v>22.92</v>
      </c>
      <c r="F10">
        <f t="shared" si="2"/>
        <v>1760</v>
      </c>
      <c r="G10">
        <f t="shared" si="3"/>
        <v>180.1</v>
      </c>
      <c r="H10">
        <f t="shared" si="4"/>
        <v>-307.58999999999997</v>
      </c>
    </row>
    <row r="11" spans="1:10" x14ac:dyDescent="0.3">
      <c r="A11">
        <v>10</v>
      </c>
      <c r="B11">
        <v>50</v>
      </c>
      <c r="C11">
        <v>35</v>
      </c>
      <c r="D11">
        <f t="shared" si="0"/>
        <v>14.58</v>
      </c>
      <c r="E11">
        <f t="shared" si="1"/>
        <v>-22.08</v>
      </c>
      <c r="F11">
        <f t="shared" si="2"/>
        <v>1750</v>
      </c>
      <c r="G11">
        <f t="shared" si="3"/>
        <v>212.58</v>
      </c>
      <c r="H11">
        <f t="shared" si="4"/>
        <v>-321.93</v>
      </c>
    </row>
    <row r="12" spans="1:10" x14ac:dyDescent="0.3">
      <c r="A12">
        <v>11</v>
      </c>
      <c r="B12">
        <v>36</v>
      </c>
      <c r="C12">
        <v>50</v>
      </c>
      <c r="D12">
        <f t="shared" si="0"/>
        <v>0.57999999999999996</v>
      </c>
      <c r="E12">
        <f t="shared" si="1"/>
        <v>-7.08</v>
      </c>
      <c r="F12">
        <f t="shared" si="2"/>
        <v>1800</v>
      </c>
      <c r="G12">
        <f t="shared" si="3"/>
        <v>0.34</v>
      </c>
      <c r="H12">
        <f t="shared" si="4"/>
        <v>-4.1100000000000003</v>
      </c>
    </row>
    <row r="13" spans="1:10" x14ac:dyDescent="0.3">
      <c r="A13">
        <v>12</v>
      </c>
      <c r="B13">
        <v>31</v>
      </c>
      <c r="C13">
        <v>45</v>
      </c>
      <c r="D13">
        <f t="shared" si="0"/>
        <v>-4.42</v>
      </c>
      <c r="E13">
        <f t="shared" si="1"/>
        <v>-12.08</v>
      </c>
      <c r="F13">
        <f t="shared" si="2"/>
        <v>1395</v>
      </c>
      <c r="G13">
        <f t="shared" si="3"/>
        <v>19.54</v>
      </c>
      <c r="H13">
        <f t="shared" si="4"/>
        <v>53.39</v>
      </c>
    </row>
    <row r="14" spans="1:10" x14ac:dyDescent="0.3">
      <c r="B14">
        <f>AVERAGE(B2:B13)</f>
        <v>35.416666666666664</v>
      </c>
      <c r="C14">
        <f>AVERAGE(C2:C13)</f>
        <v>57.083333333333336</v>
      </c>
      <c r="D14">
        <f>SUM(D2:D13)</f>
        <v>-4.0000000000000924E-2</v>
      </c>
      <c r="E14">
        <f>SUM(E2:E13)</f>
        <v>4.0000000000016911E-2</v>
      </c>
      <c r="F14">
        <f t="shared" si="2"/>
        <v>2021.7</v>
      </c>
      <c r="G14">
        <f t="shared" ref="G3:G14" si="5">E14^2</f>
        <v>1.6000000000013529E-3</v>
      </c>
      <c r="H14">
        <f>SUM(H2:H13)</f>
        <v>-2125.46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Esheshwari Kumari</dc:creator>
  <cp:lastModifiedBy>Esheshwari Kumari</cp:lastModifiedBy>
  <dcterms:created xsi:type="dcterms:W3CDTF">2026-09-17T06:44:41Z</dcterms:created>
  <dcterms:modified xsi:type="dcterms:W3CDTF">2026-09-17T07:26:31Z</dcterms:modified>
</cp:coreProperties>
</file>